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wmunr\Downloads\"/>
    </mc:Choice>
  </mc:AlternateContent>
  <xr:revisionPtr revIDLastSave="0" documentId="8_{6B8AACED-741A-46D5-B1FD-05B688B62917}" xr6:coauthVersionLast="47" xr6:coauthVersionMax="47" xr10:uidLastSave="{00000000-0000-0000-0000-000000000000}"/>
  <bookViews>
    <workbookView xWindow="-103" yWindow="-103" windowWidth="22149" windowHeight="13200" tabRatio="500" xr2:uid="{00000000-000D-0000-FFFF-FFFF00000000}"/>
  </bookViews>
  <sheets>
    <sheet name="BOM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1" i="1" l="1"/>
  <c r="G20" i="1"/>
  <c r="G18" i="1"/>
  <c r="G17" i="1"/>
  <c r="G16" i="1"/>
  <c r="G15" i="1"/>
  <c r="G13" i="1"/>
  <c r="G12" i="1"/>
  <c r="G10" i="1"/>
  <c r="G22" i="1" s="1"/>
  <c r="G9" i="1"/>
  <c r="G8" i="1"/>
  <c r="G7" i="1"/>
  <c r="G6" i="1"/>
</calcChain>
</file>

<file path=xl/sharedStrings.xml><?xml version="1.0" encoding="utf-8"?>
<sst xmlns="http://schemas.openxmlformats.org/spreadsheetml/2006/main" count="66" uniqueCount="66">
  <si>
    <t>Attitude Control Cube (Cubli) — Bill of Materials</t>
  </si>
  <si>
    <t>Component</t>
  </si>
  <si>
    <t>Recommended Part</t>
  </si>
  <si>
    <t>Key Spec to Verify</t>
  </si>
  <si>
    <t>Why This Part</t>
  </si>
  <si>
    <t>Qty</t>
  </si>
  <si>
    <t>Est. Unit ($)</t>
  </si>
  <si>
    <t>Line Total ($)</t>
  </si>
  <si>
    <t>Gimbal BLDC motor</t>
  </si>
  <si>
    <t>iPower GM4108 / GM5208 class, or CubeMars GL/GB series</t>
  </si>
  <si>
    <t>Internal resistance &gt; 10 Ω (SimpleFOC needs this); note OD &amp; bolt pattern</t>
  </si>
  <si>
    <t>Motor driver</t>
  </si>
  <si>
    <t>SimpleFOCShield v2.0.4 (or SimpleFOCMini)</t>
  </si>
  <si>
    <t>Rated for gimbal motors up to ~3 A; matches your MCU headers</t>
  </si>
  <si>
    <t>Wheel encoder</t>
  </si>
  <si>
    <t>AS5600 magnetic encoder (or AS5048A for higher res)</t>
  </si>
  <si>
    <t>Diametric magnet needed on wheel shaft; I2C (AS5600) vs SPI/PWM (AS5048)</t>
  </si>
  <si>
    <t>IMU (tilt sensor)</t>
  </si>
  <si>
    <t>MPU-6050 (baseline) — upgrade: BMI088 / ICM-42688</t>
  </si>
  <si>
    <t>I2C address; mounting orientation; note it must sit away from motor vibration</t>
  </si>
  <si>
    <t>Measures cube tilt. MPU-6050 has onboard DMP fusion = proven, simplest start</t>
  </si>
  <si>
    <t>Microcontroller</t>
  </si>
  <si>
    <t>STM32 Nucleo-64 (pro) or ESP32 (adds wireless)</t>
  </si>
  <si>
    <t>SimpleFOC-supported; enough PWM + interrupt pins; 3.3V logic</t>
  </si>
  <si>
    <t>STM32 = deterministic fast control loop (flight-realistic). ESP32 = telemetry option</t>
  </si>
  <si>
    <t>POWER</t>
  </si>
  <si>
    <t>Power supply</t>
  </si>
  <si>
    <t>12V bench supply (tethered) or 3S LiPo (untethered)</t>
  </si>
  <si>
    <t>12 V to match shield; adequate current (≥2–3 A)</t>
  </si>
  <si>
    <t>Reference design runs the shield at 12 V</t>
  </si>
  <si>
    <t>Slip ring (if tethered)</t>
  </si>
  <si>
    <t>12mm capsule slip ring, 6-wire</t>
  </si>
  <si>
    <t>Bore/OD fits your pivot axis; enough wires for power + data</t>
  </si>
  <si>
    <t>Passes power/data across the rotating joint on a benchtop rig</t>
  </si>
  <si>
    <t>MECHANICAL</t>
  </si>
  <si>
    <t>Reaction wheel</t>
  </si>
  <si>
    <t>Custom — waterjet aluminum disc or 3D-print + rim weights</t>
  </si>
  <si>
    <t>Target inertia ~0.001 kg·m²; maximize radius to keep it light</t>
  </si>
  <si>
    <t>Inertia ∝ radius². Bigger radius = lighter wheel + keeps peak speed ~160 rad/s (safe margin)</t>
  </si>
  <si>
    <t>Bearings</t>
  </si>
  <si>
    <t>Precision ball bearings (shaft-matched)</t>
  </si>
  <si>
    <t>Bore matches motor shaft / pivot; low friction</t>
  </si>
  <si>
    <t>Smooth pivot for the edge-balancing axis</t>
  </si>
  <si>
    <t>Frame</t>
  </si>
  <si>
    <t>3D-printed PETG or Nylon (ordered via JLCPCB/PCBWay)</t>
  </si>
  <si>
    <t>Wall thickness ~3–4 mm; motor pocket matches chosen motor bolt pattern</t>
  </si>
  <si>
    <t>Light where it doesn't matter, rigid at motor/bearing interfaces</t>
  </si>
  <si>
    <t>Fasteners</t>
  </si>
  <si>
    <t>M3 bolts/nuts + brass heat-set inserts (have some already)</t>
  </si>
  <si>
    <t>M3 x 8/12/16 mm assortment; inserts sized for printed bosses</t>
  </si>
  <si>
    <t>Standard mounting; inserts strengthen printed bolt points</t>
  </si>
  <si>
    <t>CONSUMABLES / MISC</t>
  </si>
  <si>
    <t>Wiring &amp; connectors</t>
  </si>
  <si>
    <t>Silicone hookup wire, JST connectors, headers</t>
  </si>
  <si>
    <t>Gauge for motor current; keep internal leads short</t>
  </si>
  <si>
    <t>Clean internal wiring between boards</t>
  </si>
  <si>
    <t>Threadlocker / tools</t>
  </si>
  <si>
    <t>Loctite 242, calipers (have threadlocker already)</t>
  </si>
  <si>
    <t>—</t>
  </si>
  <si>
    <t>Vibration will loosen bolts; calipers essential for verifying part dims</t>
  </si>
  <si>
    <t>ESTIMATED TOTAL  (single-axis prototype)</t>
  </si>
  <si>
    <t xml:space="preserve">Single-axis prototype, ~ 15cm Cubeli </t>
  </si>
  <si>
    <t>ELECTRONICS — controls</t>
  </si>
  <si>
    <t xml:space="preserve">Seamless integratoin with other parts, plug and play. </t>
  </si>
  <si>
    <t xml:space="preserve">Low-KV gimbal motor = smooth low-speed torque; ~.3 N*m is target value, found from sweep file </t>
  </si>
  <si>
    <t>Clean wheel angle/speed feedback, smooth FOC; the flight-realistic upgrade over IMU-only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</si>
</sst>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8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b/>
      <sz val="10"/>
      <color rgb="FF1F3A5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1F3A5F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8EEF5"/>
        <bgColor rgb="FFD5E8D4"/>
      </patternFill>
    </fill>
    <fill>
      <patternFill patternType="solid">
        <fgColor rgb="FFFFF3CD"/>
        <bgColor rgb="FFE8EEF5"/>
      </patternFill>
    </fill>
    <fill>
      <patternFill patternType="solid">
        <fgColor rgb="FFD5E8D4"/>
        <bgColor rgb="FFE8EEF5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left" vertical="top" wrapText="1"/>
    </xf>
    <xf numFmtId="0" fontId="7" fillId="5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horizontal="center" vertical="top"/>
    </xf>
    <xf numFmtId="164" fontId="6" fillId="4" borderId="1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horizontal="center" vertical="top"/>
    </xf>
    <xf numFmtId="164" fontId="6" fillId="0" borderId="1" xfId="0" applyNumberFormat="1" applyFont="1" applyBorder="1" applyAlignment="1">
      <alignment horizontal="right" vertical="top"/>
    </xf>
    <xf numFmtId="164" fontId="7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3CD"/>
      <rgbColor rgb="FFE8EE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E8D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tabSelected="1" zoomScaleNormal="100" workbookViewId="0">
      <pane ySplit="4" topLeftCell="A15" activePane="bottomLeft" state="frozen"/>
      <selection pane="bottomLeft" activeCell="D10" sqref="D10"/>
    </sheetView>
  </sheetViews>
  <sheetFormatPr defaultColWidth="8.69140625" defaultRowHeight="14.6" x14ac:dyDescent="0.4"/>
  <cols>
    <col min="1" max="1" width="20" customWidth="1"/>
    <col min="2" max="3" width="34" customWidth="1"/>
    <col min="4" max="4" width="40" customWidth="1"/>
    <col min="5" max="5" width="6" customWidth="1"/>
    <col min="6" max="6" width="12" customWidth="1"/>
    <col min="7" max="7" width="13" customWidth="1"/>
  </cols>
  <sheetData>
    <row r="1" spans="1:7" ht="25.5" customHeight="1" x14ac:dyDescent="0.4">
      <c r="A1" s="5" t="s">
        <v>0</v>
      </c>
      <c r="B1" s="5"/>
      <c r="C1" s="5"/>
      <c r="D1" s="5"/>
      <c r="E1" s="5"/>
      <c r="F1" s="5"/>
      <c r="G1" s="5"/>
    </row>
    <row r="2" spans="1:7" ht="27.75" customHeight="1" x14ac:dyDescent="0.4">
      <c r="A2" s="4" t="s">
        <v>61</v>
      </c>
      <c r="B2" s="4"/>
      <c r="C2" s="4"/>
      <c r="D2" s="4"/>
      <c r="E2" s="4"/>
      <c r="F2" s="4"/>
      <c r="G2" s="4"/>
    </row>
    <row r="4" spans="1:7" ht="30" customHeight="1" x14ac:dyDescent="0.4">
      <c r="A4" s="6" t="s">
        <v>1</v>
      </c>
      <c r="B4" s="6" t="s">
        <v>2</v>
      </c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</row>
    <row r="5" spans="1:7" ht="18" customHeight="1" x14ac:dyDescent="0.4">
      <c r="A5" s="3" t="s">
        <v>62</v>
      </c>
      <c r="B5" s="3"/>
      <c r="C5" s="3"/>
      <c r="D5" s="3"/>
      <c r="E5" s="3"/>
      <c r="F5" s="3"/>
      <c r="G5" s="3"/>
    </row>
    <row r="6" spans="1:7" ht="45.75" customHeight="1" x14ac:dyDescent="0.4">
      <c r="A6" s="7" t="s">
        <v>8</v>
      </c>
      <c r="B6" s="8" t="s">
        <v>9</v>
      </c>
      <c r="C6" s="8" t="s">
        <v>10</v>
      </c>
      <c r="D6" s="8" t="s">
        <v>64</v>
      </c>
      <c r="E6" s="9">
        <v>1</v>
      </c>
      <c r="F6" s="10">
        <v>35</v>
      </c>
      <c r="G6" s="10">
        <f>E6*F6</f>
        <v>35</v>
      </c>
    </row>
    <row r="7" spans="1:7" ht="45.75" customHeight="1" x14ac:dyDescent="0.4">
      <c r="A7" s="11" t="s">
        <v>11</v>
      </c>
      <c r="B7" s="12" t="s">
        <v>12</v>
      </c>
      <c r="C7" s="12" t="s">
        <v>13</v>
      </c>
      <c r="D7" s="12" t="s">
        <v>63</v>
      </c>
      <c r="E7" s="13">
        <v>1</v>
      </c>
      <c r="F7" s="14">
        <v>40</v>
      </c>
      <c r="G7" s="14">
        <f>E7*F7</f>
        <v>40</v>
      </c>
    </row>
    <row r="8" spans="1:7" ht="45.75" customHeight="1" x14ac:dyDescent="0.4">
      <c r="A8" s="11" t="s">
        <v>14</v>
      </c>
      <c r="B8" s="12" t="s">
        <v>15</v>
      </c>
      <c r="C8" s="12" t="s">
        <v>16</v>
      </c>
      <c r="D8" s="12" t="s">
        <v>65</v>
      </c>
      <c r="E8" s="13">
        <v>1</v>
      </c>
      <c r="F8" s="14">
        <v>8</v>
      </c>
      <c r="G8" s="14">
        <f>E8*F8</f>
        <v>8</v>
      </c>
    </row>
    <row r="9" spans="1:7" ht="45.75" customHeight="1" x14ac:dyDescent="0.4">
      <c r="A9" s="11" t="s">
        <v>17</v>
      </c>
      <c r="B9" s="12" t="s">
        <v>18</v>
      </c>
      <c r="C9" s="12" t="s">
        <v>19</v>
      </c>
      <c r="D9" s="12" t="s">
        <v>20</v>
      </c>
      <c r="E9" s="13">
        <v>1</v>
      </c>
      <c r="F9" s="14">
        <v>6</v>
      </c>
      <c r="G9" s="14">
        <f>E9*F9</f>
        <v>6</v>
      </c>
    </row>
    <row r="10" spans="1:7" ht="45.75" customHeight="1" x14ac:dyDescent="0.4">
      <c r="A10" s="11" t="s">
        <v>21</v>
      </c>
      <c r="B10" s="12" t="s">
        <v>22</v>
      </c>
      <c r="C10" s="12" t="s">
        <v>23</v>
      </c>
      <c r="D10" s="12" t="s">
        <v>24</v>
      </c>
      <c r="E10" s="13">
        <v>1</v>
      </c>
      <c r="F10" s="14">
        <v>20</v>
      </c>
      <c r="G10" s="14">
        <f>E10*F10</f>
        <v>20</v>
      </c>
    </row>
    <row r="11" spans="1:7" ht="18" customHeight="1" x14ac:dyDescent="0.4">
      <c r="A11" s="3" t="s">
        <v>25</v>
      </c>
      <c r="B11" s="3"/>
      <c r="C11" s="3"/>
      <c r="D11" s="3"/>
      <c r="E11" s="3"/>
      <c r="F11" s="3"/>
      <c r="G11" s="3"/>
    </row>
    <row r="12" spans="1:7" ht="45.75" customHeight="1" x14ac:dyDescent="0.4">
      <c r="A12" s="11" t="s">
        <v>26</v>
      </c>
      <c r="B12" s="12" t="s">
        <v>27</v>
      </c>
      <c r="C12" s="12" t="s">
        <v>28</v>
      </c>
      <c r="D12" s="12" t="s">
        <v>29</v>
      </c>
      <c r="E12" s="13">
        <v>1</v>
      </c>
      <c r="F12" s="14">
        <v>25</v>
      </c>
      <c r="G12" s="14">
        <f>E12*F12</f>
        <v>25</v>
      </c>
    </row>
    <row r="13" spans="1:7" ht="45.75" customHeight="1" x14ac:dyDescent="0.4">
      <c r="A13" s="11" t="s">
        <v>30</v>
      </c>
      <c r="B13" s="12" t="s">
        <v>31</v>
      </c>
      <c r="C13" s="12" t="s">
        <v>32</v>
      </c>
      <c r="D13" s="12" t="s">
        <v>33</v>
      </c>
      <c r="E13" s="13">
        <v>1</v>
      </c>
      <c r="F13" s="14">
        <v>13</v>
      </c>
      <c r="G13" s="14">
        <f>E13*F13</f>
        <v>13</v>
      </c>
    </row>
    <row r="14" spans="1:7" ht="18" customHeight="1" x14ac:dyDescent="0.4">
      <c r="A14" s="3" t="s">
        <v>34</v>
      </c>
      <c r="B14" s="3"/>
      <c r="C14" s="3"/>
      <c r="D14" s="3"/>
      <c r="E14" s="3"/>
      <c r="F14" s="3"/>
      <c r="G14" s="3"/>
    </row>
    <row r="15" spans="1:7" ht="45.75" customHeight="1" x14ac:dyDescent="0.4">
      <c r="A15" s="7" t="s">
        <v>35</v>
      </c>
      <c r="B15" s="8" t="s">
        <v>36</v>
      </c>
      <c r="C15" s="8" t="s">
        <v>37</v>
      </c>
      <c r="D15" s="8" t="s">
        <v>38</v>
      </c>
      <c r="E15" s="9">
        <v>1</v>
      </c>
      <c r="F15" s="10">
        <v>20</v>
      </c>
      <c r="G15" s="10">
        <f>E15*F15</f>
        <v>20</v>
      </c>
    </row>
    <row r="16" spans="1:7" ht="45.75" customHeight="1" x14ac:dyDescent="0.4">
      <c r="A16" s="11" t="s">
        <v>39</v>
      </c>
      <c r="B16" s="12" t="s">
        <v>40</v>
      </c>
      <c r="C16" s="12" t="s">
        <v>41</v>
      </c>
      <c r="D16" s="12" t="s">
        <v>42</v>
      </c>
      <c r="E16" s="13">
        <v>2</v>
      </c>
      <c r="F16" s="14">
        <v>6</v>
      </c>
      <c r="G16" s="14">
        <f>E16*F16</f>
        <v>12</v>
      </c>
    </row>
    <row r="17" spans="1:7" ht="45.75" customHeight="1" x14ac:dyDescent="0.4">
      <c r="A17" s="11" t="s">
        <v>43</v>
      </c>
      <c r="B17" s="12" t="s">
        <v>44</v>
      </c>
      <c r="C17" s="12" t="s">
        <v>45</v>
      </c>
      <c r="D17" s="12" t="s">
        <v>46</v>
      </c>
      <c r="E17" s="13">
        <v>1</v>
      </c>
      <c r="F17" s="14">
        <v>30</v>
      </c>
      <c r="G17" s="14">
        <f>E17*F17</f>
        <v>30</v>
      </c>
    </row>
    <row r="18" spans="1:7" ht="45.75" customHeight="1" x14ac:dyDescent="0.4">
      <c r="A18" s="11" t="s">
        <v>47</v>
      </c>
      <c r="B18" s="12" t="s">
        <v>48</v>
      </c>
      <c r="C18" s="12" t="s">
        <v>49</v>
      </c>
      <c r="D18" s="12" t="s">
        <v>50</v>
      </c>
      <c r="E18" s="13">
        <v>1</v>
      </c>
      <c r="F18" s="14">
        <v>12</v>
      </c>
      <c r="G18" s="14">
        <f>E18*F18</f>
        <v>12</v>
      </c>
    </row>
    <row r="19" spans="1:7" ht="18" customHeight="1" x14ac:dyDescent="0.4">
      <c r="A19" s="3" t="s">
        <v>51</v>
      </c>
      <c r="B19" s="3"/>
      <c r="C19" s="3"/>
      <c r="D19" s="3"/>
      <c r="E19" s="3"/>
      <c r="F19" s="3"/>
      <c r="G19" s="3"/>
    </row>
    <row r="20" spans="1:7" ht="45.75" customHeight="1" x14ac:dyDescent="0.4">
      <c r="A20" s="11" t="s">
        <v>52</v>
      </c>
      <c r="B20" s="12" t="s">
        <v>53</v>
      </c>
      <c r="C20" s="12" t="s">
        <v>54</v>
      </c>
      <c r="D20" s="12" t="s">
        <v>55</v>
      </c>
      <c r="E20" s="13">
        <v>1</v>
      </c>
      <c r="F20" s="14">
        <v>15</v>
      </c>
      <c r="G20" s="14">
        <f>E20*F20</f>
        <v>15</v>
      </c>
    </row>
    <row r="21" spans="1:7" ht="45.75" customHeight="1" x14ac:dyDescent="0.4">
      <c r="A21" s="11" t="s">
        <v>56</v>
      </c>
      <c r="B21" s="12" t="s">
        <v>57</v>
      </c>
      <c r="C21" s="12" t="s">
        <v>58</v>
      </c>
      <c r="D21" s="12" t="s">
        <v>59</v>
      </c>
      <c r="E21" s="13">
        <v>1</v>
      </c>
      <c r="F21" s="14">
        <v>15</v>
      </c>
      <c r="G21" s="14">
        <f>E21*F21</f>
        <v>15</v>
      </c>
    </row>
    <row r="22" spans="1:7" ht="24" customHeight="1" x14ac:dyDescent="0.4">
      <c r="A22" s="2" t="s">
        <v>60</v>
      </c>
      <c r="B22" s="2"/>
      <c r="C22" s="2"/>
      <c r="D22" s="2"/>
      <c r="E22" s="2"/>
      <c r="F22" s="2"/>
      <c r="G22" s="15">
        <f>SUM(G6:G21)</f>
        <v>251</v>
      </c>
    </row>
    <row r="24" spans="1:7" ht="42" customHeight="1" x14ac:dyDescent="0.4"/>
    <row r="25" spans="1:7" x14ac:dyDescent="0.4">
      <c r="A25" s="1"/>
      <c r="B25" s="1"/>
      <c r="C25" s="1"/>
      <c r="D25" s="1"/>
      <c r="E25" s="1"/>
      <c r="F25" s="1"/>
      <c r="G25" s="1"/>
    </row>
  </sheetData>
  <mergeCells count="8">
    <mergeCell ref="A19:G19"/>
    <mergeCell ref="A22:F22"/>
    <mergeCell ref="A25:G25"/>
    <mergeCell ref="A1:G1"/>
    <mergeCell ref="A2:G2"/>
    <mergeCell ref="A5:G5"/>
    <mergeCell ref="A11:G11"/>
    <mergeCell ref="A14:G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Munro, William K.</cp:lastModifiedBy>
  <cp:revision>0</cp:revision>
  <dcterms:created xsi:type="dcterms:W3CDTF">2026-07-05T23:01:35Z</dcterms:created>
  <dcterms:modified xsi:type="dcterms:W3CDTF">2026-07-05T23:09:24Z</dcterms:modified>
  <dc:language>en-US</dc:language>
</cp:coreProperties>
</file>